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 Management App\FE Project Management\template\"/>
    </mc:Choice>
  </mc:AlternateContent>
  <xr:revisionPtr revIDLastSave="0" documentId="13_ncr:1_{CB8F7452-073E-4F83-8A7E-6E93FA26B9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line" sheetId="4" r:id="rId1"/>
    <sheet name="Resource Refference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4" l="1"/>
  <c r="I29" i="4"/>
  <c r="I37" i="4"/>
  <c r="I33" i="4"/>
  <c r="I17" i="4"/>
  <c r="I13" i="4"/>
  <c r="I49" i="4"/>
  <c r="I48" i="4"/>
  <c r="I47" i="4"/>
  <c r="I45" i="4"/>
  <c r="I20" i="4"/>
  <c r="I7" i="4"/>
  <c r="I8" i="4"/>
  <c r="G60" i="4"/>
  <c r="F60" i="4"/>
</calcChain>
</file>

<file path=xl/sharedStrings.xml><?xml version="1.0" encoding="utf-8"?>
<sst xmlns="http://schemas.openxmlformats.org/spreadsheetml/2006/main" count="172" uniqueCount="117">
  <si>
    <t>No</t>
  </si>
  <si>
    <t>Activity</t>
  </si>
  <si>
    <t>PIC</t>
  </si>
  <si>
    <t>Maindays
(day)</t>
  </si>
  <si>
    <t>Progress (%)</t>
  </si>
  <si>
    <t>Start Date</t>
  </si>
  <si>
    <t>End Date</t>
  </si>
  <si>
    <t>Notes</t>
  </si>
  <si>
    <t>FCAB</t>
  </si>
  <si>
    <t> </t>
  </si>
  <si>
    <t>All</t>
  </si>
  <si>
    <t>TBD</t>
  </si>
  <si>
    <t>Gather Requirement &amp; Assesment</t>
  </si>
  <si>
    <t>TL, TC1</t>
  </si>
  <si>
    <t>Design Implementation</t>
  </si>
  <si>
    <t>Development</t>
  </si>
  <si>
    <t>List Request</t>
  </si>
  <si>
    <t>Master Data</t>
  </si>
  <si>
    <t>Create SRS</t>
  </si>
  <si>
    <t>TC1</t>
  </si>
  <si>
    <t>Submit CRQ and SRS</t>
  </si>
  <si>
    <t>TSel</t>
  </si>
  <si>
    <t xml:space="preserve">Create UT and SIT </t>
  </si>
  <si>
    <t>Review TC</t>
  </si>
  <si>
    <t>UAT</t>
  </si>
  <si>
    <t>NFT (If any)</t>
  </si>
  <si>
    <t>Security Test</t>
  </si>
  <si>
    <t>Production Preparation</t>
  </si>
  <si>
    <t>RFS</t>
  </si>
  <si>
    <t>FUT</t>
  </si>
  <si>
    <t>Total Duration</t>
  </si>
  <si>
    <t>Indira</t>
  </si>
  <si>
    <t>TC1, TL1</t>
  </si>
  <si>
    <t>TSel, TC1, TL1</t>
  </si>
  <si>
    <t>Jansen</t>
  </si>
  <si>
    <t>Rayo</t>
  </si>
  <si>
    <t>OD Sprint 2</t>
  </si>
  <si>
    <t>Module</t>
  </si>
  <si>
    <t>Page</t>
  </si>
  <si>
    <t>Duration
(Day)</t>
  </si>
  <si>
    <t>Actual Date</t>
  </si>
  <si>
    <t>TC2, TC3</t>
  </si>
  <si>
    <t>Layout</t>
  </si>
  <si>
    <t>TC4, TC5</t>
  </si>
  <si>
    <t>asumsi with GET API</t>
  </si>
  <si>
    <t>Chart</t>
  </si>
  <si>
    <t>View Summary</t>
  </si>
  <si>
    <t>Replace Layout Master Data Baru</t>
  </si>
  <si>
    <t>Download Curret Data</t>
  </si>
  <si>
    <t>Upload Edit File</t>
  </si>
  <si>
    <t>Dashboard</t>
  </si>
  <si>
    <t>Dashboard Detail Calculation</t>
  </si>
  <si>
    <t>Enhancement Data Transition : Joining Table Job Function dan Capability (Competency)</t>
  </si>
  <si>
    <t>View Detail List Request</t>
  </si>
  <si>
    <t xml:space="preserve">View Summary </t>
  </si>
  <si>
    <t>Request</t>
  </si>
  <si>
    <t>Add Improvement Request</t>
  </si>
  <si>
    <t>Butuh penjelasan terkait status flow</t>
  </si>
  <si>
    <t>Pop Up Confirmation</t>
  </si>
  <si>
    <t>Detail Progress</t>
  </si>
  <si>
    <t>Position</t>
  </si>
  <si>
    <t>Edit Bagan (Edit Data)</t>
  </si>
  <si>
    <t xml:space="preserve">Enhancement Data Transition : Joining Table Job Function dan Capability (Competency)
Masih menunggu konfirmasi terkait AI yang langsung di apply ke bagan </t>
  </si>
  <si>
    <t>Download Current Data</t>
  </si>
  <si>
    <t>View Download supporting Document</t>
  </si>
  <si>
    <t>AI Integration</t>
  </si>
  <si>
    <t>Pop Up Submit</t>
  </si>
  <si>
    <t>Feedback</t>
  </si>
  <si>
    <t>pop Up Feedback</t>
  </si>
  <si>
    <t>Download &amp; Upload Template</t>
  </si>
  <si>
    <t>PDM Dashboard</t>
  </si>
  <si>
    <t xml:space="preserve">Acknowledge </t>
  </si>
  <si>
    <t>List Data</t>
  </si>
  <si>
    <t>Dashboard Detail PDM Calculation</t>
  </si>
  <si>
    <t>Competency Dashboard</t>
  </si>
  <si>
    <t>Form Submit Competency</t>
  </si>
  <si>
    <t>Create Approval Document</t>
  </si>
  <si>
    <t>Form Detail</t>
  </si>
  <si>
    <t xml:space="preserve">View Detail </t>
  </si>
  <si>
    <t>Download</t>
  </si>
  <si>
    <t>Update EBS</t>
  </si>
  <si>
    <t>Ada Penambahan API View sikronisasi master data EBS ke OD -8 Juli 2026</t>
  </si>
  <si>
    <t>Edit Data List</t>
  </si>
  <si>
    <t>Edit Detail Form</t>
  </si>
  <si>
    <t xml:space="preserve">Upload EBS </t>
  </si>
  <si>
    <t>Masih ada API yang Error Job &amp; Location</t>
  </si>
  <si>
    <t>Validate Data Proses</t>
  </si>
  <si>
    <t>Pop up confirmation</t>
  </si>
  <si>
    <t>Sinkronisasi master data EBS</t>
  </si>
  <si>
    <t xml:space="preserve">Email </t>
  </si>
  <si>
    <t xml:space="preserve">PDM Dashboard </t>
  </si>
  <si>
    <t>Notification</t>
  </si>
  <si>
    <t>User Mapping</t>
  </si>
  <si>
    <t>Filtering dan listting Organisasi Rebahan</t>
  </si>
  <si>
    <t>Request API get All Data</t>
  </si>
  <si>
    <t>Dean</t>
  </si>
  <si>
    <t>Member Name</t>
  </si>
  <si>
    <t>Role</t>
  </si>
  <si>
    <t>Email</t>
  </si>
  <si>
    <t>Employee ID</t>
  </si>
  <si>
    <t>Business Analyst</t>
  </si>
  <si>
    <t>sayyid@mii.co.id</t>
  </si>
  <si>
    <t>EMP-SAYYID</t>
  </si>
  <si>
    <t>Developer Back-End</t>
  </si>
  <si>
    <t>dean@mii.co.id</t>
  </si>
  <si>
    <t>EMP-DEAN</t>
  </si>
  <si>
    <t>Fazri</t>
  </si>
  <si>
    <t>fazri@mii.co.id</t>
  </si>
  <si>
    <t>EMP-FAZRI</t>
  </si>
  <si>
    <t>jansen@mii.co.id</t>
  </si>
  <si>
    <t>EMP-JANSEN</t>
  </si>
  <si>
    <t>Tubagus</t>
  </si>
  <si>
    <t>tubagus@mii.co.id</t>
  </si>
  <si>
    <t>EMP-TUBAGUS</t>
  </si>
  <si>
    <t>Technical Lead</t>
  </si>
  <si>
    <t>rayo@mii.co.id</t>
  </si>
  <si>
    <t>EMP-RAYO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</si>
</sst>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5" fontId="6" fillId="0" borderId="10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 wrapText="1"/>
    </xf>
    <xf numFmtId="15" fontId="3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" xfId="0" applyBorder="1"/>
    <xf numFmtId="0" fontId="0" fillId="0" borderId="10" xfId="0" applyBorder="1"/>
    <xf numFmtId="0" fontId="3" fillId="0" borderId="14" xfId="0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5" fontId="3" fillId="0" borderId="4" xfId="0" applyNumberFormat="1" applyFont="1" applyBorder="1" applyAlignment="1">
      <alignment horizontal="center" vertical="center" wrapText="1"/>
    </xf>
    <xf numFmtId="15" fontId="3" fillId="0" borderId="6" xfId="0" applyNumberFormat="1" applyFont="1" applyBorder="1" applyAlignment="1">
      <alignment horizontal="center" vertical="center" wrapText="1"/>
    </xf>
    <xf numFmtId="15" fontId="3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5" fontId="6" fillId="0" borderId="4" xfId="0" applyNumberFormat="1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9" fontId="3" fillId="0" borderId="10" xfId="0" applyNumberFormat="1" applyFont="1" applyBorder="1" applyAlignment="1">
      <alignment horizontal="center" vertical="center" wrapText="1"/>
    </xf>
    <xf numFmtId="15" fontId="5" fillId="0" borderId="12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9" fillId="0" borderId="1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5" fontId="6" fillId="0" borderId="5" xfId="0" applyNumberFormat="1" applyFont="1" applyBorder="1" applyAlignment="1">
      <alignment horizontal="center" vertical="center" wrapText="1"/>
    </xf>
    <xf numFmtId="15" fontId="3" fillId="0" borderId="8" xfId="0" applyNumberFormat="1" applyFont="1" applyBorder="1" applyAlignment="1">
      <alignment horizontal="center" vertical="center" wrapText="1"/>
    </xf>
    <xf numFmtId="15" fontId="6" fillId="0" borderId="2" xfId="0" applyNumberFormat="1" applyFont="1" applyBorder="1" applyAlignment="1">
      <alignment horizontal="center" vertical="center" wrapText="1"/>
    </xf>
    <xf numFmtId="15" fontId="6" fillId="0" borderId="0" xfId="0" applyNumberFormat="1" applyFont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9" fontId="3" fillId="0" borderId="8" xfId="0" applyNumberFormat="1" applyFont="1" applyBorder="1" applyAlignment="1">
      <alignment horizontal="center" vertical="center" wrapText="1"/>
    </xf>
    <xf numFmtId="9" fontId="3" fillId="0" borderId="10" xfId="0" applyNumberFormat="1" applyFont="1" applyBorder="1" applyAlignment="1">
      <alignment horizontal="center" vertical="center" wrapText="1"/>
    </xf>
    <xf numFmtId="15" fontId="3" fillId="0" borderId="3" xfId="0" applyNumberFormat="1" applyFont="1" applyBorder="1" applyAlignment="1">
      <alignment horizontal="center" vertical="center" wrapText="1"/>
    </xf>
    <xf numFmtId="15" fontId="3" fillId="0" borderId="15" xfId="0" applyNumberFormat="1" applyFont="1" applyBorder="1" applyAlignment="1">
      <alignment horizontal="center" vertical="center" wrapText="1"/>
    </xf>
    <xf numFmtId="15" fontId="3" fillId="0" borderId="1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5" fillId="0" borderId="3" xfId="0" applyNumberFormat="1" applyFont="1" applyBorder="1" applyAlignment="1">
      <alignment horizontal="center" vertical="center" wrapText="1"/>
    </xf>
    <xf numFmtId="15" fontId="5" fillId="0" borderId="15" xfId="0" applyNumberFormat="1" applyFont="1" applyBorder="1" applyAlignment="1">
      <alignment horizontal="center" vertical="center" wrapText="1"/>
    </xf>
    <xf numFmtId="15" fontId="5" fillId="0" borderId="12" xfId="0" applyNumberFormat="1" applyFont="1" applyBorder="1" applyAlignment="1">
      <alignment horizontal="center" vertical="center" wrapText="1"/>
    </xf>
    <xf numFmtId="15" fontId="6" fillId="0" borderId="5" xfId="0" applyNumberFormat="1" applyFont="1" applyBorder="1" applyAlignment="1">
      <alignment horizontal="center" vertical="center" wrapText="1"/>
    </xf>
    <xf numFmtId="15" fontId="6" fillId="0" borderId="8" xfId="0" applyNumberFormat="1" applyFont="1" applyBorder="1" applyAlignment="1">
      <alignment horizontal="center" vertical="center" wrapText="1"/>
    </xf>
    <xf numFmtId="15" fontId="6" fillId="0" borderId="10" xfId="0" applyNumberFormat="1" applyFont="1" applyBorder="1" applyAlignment="1">
      <alignment horizontal="center" vertical="center" wrapText="1"/>
    </xf>
    <xf numFmtId="15" fontId="5" fillId="0" borderId="5" xfId="0" applyNumberFormat="1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 wrapText="1"/>
    </xf>
    <xf numFmtId="15" fontId="5" fillId="0" borderId="10" xfId="0" applyNumberFormat="1" applyFont="1" applyBorder="1" applyAlignment="1">
      <alignment horizontal="center" vertical="center" wrapText="1"/>
    </xf>
    <xf numFmtId="15" fontId="3" fillId="0" borderId="5" xfId="0" applyNumberFormat="1" applyFont="1" applyBorder="1" applyAlignment="1">
      <alignment horizontal="center" vertical="center" wrapText="1"/>
    </xf>
    <xf numFmtId="15" fontId="3" fillId="0" borderId="8" xfId="0" applyNumberFormat="1" applyFont="1" applyBorder="1" applyAlignment="1">
      <alignment horizontal="center" vertical="center" wrapText="1"/>
    </xf>
    <xf numFmtId="15" fontId="3" fillId="0" borderId="10" xfId="0" applyNumberFormat="1" applyFont="1" applyBorder="1" applyAlignment="1">
      <alignment horizontal="center" vertical="center" wrapText="1"/>
    </xf>
    <xf numFmtId="15" fontId="6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44E2-C1AD-4342-BC10-C99C98994907}">
  <dimension ref="A1:N71"/>
  <sheetViews>
    <sheetView tabSelected="1" workbookViewId="0">
      <selection activeCell="F6" sqref="F6"/>
    </sheetView>
  </sheetViews>
  <sheetFormatPr defaultRowHeight="14.4" x14ac:dyDescent="0.3"/>
  <cols>
    <col min="1" max="1" width="3.6640625" bestFit="1" customWidth="1"/>
    <col min="2" max="2" width="32.109375" bestFit="1" customWidth="1"/>
    <col min="3" max="3" width="22.44140625" customWidth="1"/>
    <col min="4" max="4" width="29.33203125" customWidth="1"/>
    <col min="5" max="5" width="13.88671875" bestFit="1" customWidth="1"/>
    <col min="6" max="6" width="21.109375" style="38" customWidth="1"/>
    <col min="7" max="7" width="13.109375" customWidth="1"/>
    <col min="10" max="10" width="11.5546875" customWidth="1"/>
    <col min="11" max="13" width="11.88671875" customWidth="1"/>
    <col min="14" max="14" width="39.5546875" customWidth="1"/>
  </cols>
  <sheetData>
    <row r="1" spans="1:14" ht="15.6" x14ac:dyDescent="0.3">
      <c r="A1" s="1"/>
      <c r="B1" s="2" t="s">
        <v>36</v>
      </c>
      <c r="C1" s="3"/>
      <c r="D1" s="4"/>
      <c r="E1" s="5"/>
      <c r="F1" s="3"/>
      <c r="G1" s="3"/>
      <c r="H1" s="3"/>
      <c r="I1" s="3"/>
      <c r="J1" s="3"/>
      <c r="K1" s="3"/>
      <c r="L1" s="3"/>
      <c r="M1" s="3"/>
      <c r="N1" s="5"/>
    </row>
    <row r="2" spans="1:14" x14ac:dyDescent="0.3">
      <c r="A2" s="70" t="s">
        <v>0</v>
      </c>
      <c r="B2" s="70" t="s">
        <v>1</v>
      </c>
      <c r="C2" s="70" t="s">
        <v>37</v>
      </c>
      <c r="D2" s="70" t="s">
        <v>38</v>
      </c>
      <c r="E2" s="70" t="s">
        <v>2</v>
      </c>
      <c r="F2" s="70" t="s">
        <v>39</v>
      </c>
      <c r="G2" s="70" t="s">
        <v>3</v>
      </c>
      <c r="H2" s="70" t="s">
        <v>4</v>
      </c>
      <c r="I2" s="73"/>
      <c r="J2" s="70" t="s">
        <v>5</v>
      </c>
      <c r="K2" s="71" t="s">
        <v>6</v>
      </c>
      <c r="L2" s="94" t="s">
        <v>40</v>
      </c>
      <c r="M2" s="95"/>
      <c r="N2" s="72" t="s">
        <v>7</v>
      </c>
    </row>
    <row r="3" spans="1:14" x14ac:dyDescent="0.3">
      <c r="A3" s="70"/>
      <c r="B3" s="70"/>
      <c r="C3" s="70"/>
      <c r="D3" s="70"/>
      <c r="E3" s="73"/>
      <c r="F3" s="73"/>
      <c r="G3" s="70"/>
      <c r="H3" s="70"/>
      <c r="I3" s="74"/>
      <c r="J3" s="70"/>
      <c r="K3" s="70"/>
      <c r="L3" s="63" t="s">
        <v>5</v>
      </c>
      <c r="M3" s="63" t="s">
        <v>6</v>
      </c>
      <c r="N3" s="70"/>
    </row>
    <row r="4" spans="1:14" x14ac:dyDescent="0.3">
      <c r="A4" s="7">
        <v>1</v>
      </c>
      <c r="B4" s="8" t="s">
        <v>8</v>
      </c>
      <c r="C4" s="7" t="s">
        <v>9</v>
      </c>
      <c r="D4" s="9" t="s">
        <v>9</v>
      </c>
      <c r="E4" s="8" t="s">
        <v>10</v>
      </c>
      <c r="F4" s="10">
        <v>1</v>
      </c>
      <c r="G4" s="11">
        <v>1</v>
      </c>
      <c r="H4" s="12">
        <v>1</v>
      </c>
      <c r="I4" s="12"/>
      <c r="J4" s="7" t="s">
        <v>11</v>
      </c>
      <c r="K4" s="7" t="s">
        <v>11</v>
      </c>
      <c r="L4" s="7"/>
      <c r="M4" s="7"/>
      <c r="N4" s="8" t="s">
        <v>9</v>
      </c>
    </row>
    <row r="5" spans="1:14" x14ac:dyDescent="0.3">
      <c r="A5" s="7">
        <v>2</v>
      </c>
      <c r="B5" s="8" t="s">
        <v>12</v>
      </c>
      <c r="C5" s="7" t="s">
        <v>9</v>
      </c>
      <c r="D5" s="9" t="s">
        <v>9</v>
      </c>
      <c r="E5" s="8" t="s">
        <v>13</v>
      </c>
      <c r="F5" s="29">
        <v>5</v>
      </c>
      <c r="G5" s="13">
        <v>5</v>
      </c>
      <c r="H5" s="12">
        <v>1</v>
      </c>
      <c r="I5" s="12"/>
      <c r="J5" s="14" t="s">
        <v>11</v>
      </c>
      <c r="K5" s="14" t="s">
        <v>11</v>
      </c>
      <c r="L5" s="39"/>
      <c r="M5" s="39"/>
      <c r="N5" s="34"/>
    </row>
    <row r="6" spans="1:14" x14ac:dyDescent="0.3">
      <c r="A6" s="7">
        <v>3</v>
      </c>
      <c r="B6" s="8" t="s">
        <v>14</v>
      </c>
      <c r="C6" s="27" t="s">
        <v>9</v>
      </c>
      <c r="D6" s="36" t="s">
        <v>9</v>
      </c>
      <c r="E6" s="40" t="s">
        <v>41</v>
      </c>
      <c r="F6" s="23">
        <v>10</v>
      </c>
      <c r="G6" s="50">
        <v>20</v>
      </c>
      <c r="H6" s="12">
        <v>1</v>
      </c>
      <c r="I6" s="53"/>
      <c r="J6" s="39">
        <v>46139</v>
      </c>
      <c r="K6" s="49">
        <v>46153</v>
      </c>
      <c r="L6" s="49"/>
      <c r="M6" s="49"/>
      <c r="N6" s="8"/>
    </row>
    <row r="7" spans="1:14" x14ac:dyDescent="0.3">
      <c r="A7" s="84">
        <v>4</v>
      </c>
      <c r="B7" s="84" t="s">
        <v>15</v>
      </c>
      <c r="C7" s="51" t="s">
        <v>42</v>
      </c>
      <c r="D7" s="42"/>
      <c r="E7" s="84" t="s">
        <v>43</v>
      </c>
      <c r="F7" s="35">
        <v>5</v>
      </c>
      <c r="G7" s="37">
        <v>5</v>
      </c>
      <c r="H7" s="30">
        <v>1</v>
      </c>
      <c r="I7" s="12">
        <f>AVERAGE(H7)</f>
        <v>1</v>
      </c>
      <c r="J7" s="79">
        <v>46149</v>
      </c>
      <c r="K7" s="105">
        <v>46161</v>
      </c>
      <c r="L7" s="39"/>
      <c r="M7" s="39"/>
      <c r="N7" s="8"/>
    </row>
    <row r="8" spans="1:14" x14ac:dyDescent="0.3">
      <c r="A8" s="85"/>
      <c r="B8" s="85"/>
      <c r="C8" s="87" t="s">
        <v>17</v>
      </c>
      <c r="D8" s="24" t="s">
        <v>16</v>
      </c>
      <c r="E8" s="85"/>
      <c r="F8" s="35">
        <v>3</v>
      </c>
      <c r="G8" s="37">
        <v>5</v>
      </c>
      <c r="H8" s="30">
        <v>1</v>
      </c>
      <c r="I8" s="75">
        <f>AVERAGE(H8:H12)</f>
        <v>1</v>
      </c>
      <c r="J8" s="80"/>
      <c r="K8" s="106"/>
      <c r="L8" s="65"/>
      <c r="M8" s="65"/>
      <c r="N8" s="56" t="s">
        <v>44</v>
      </c>
    </row>
    <row r="9" spans="1:14" x14ac:dyDescent="0.3">
      <c r="A9" s="85"/>
      <c r="B9" s="85"/>
      <c r="C9" s="87"/>
      <c r="D9" s="24" t="s">
        <v>45</v>
      </c>
      <c r="E9" s="85"/>
      <c r="F9" s="32">
        <v>4</v>
      </c>
      <c r="G9" s="37">
        <v>15</v>
      </c>
      <c r="H9" s="30">
        <v>1</v>
      </c>
      <c r="I9" s="75"/>
      <c r="J9" s="80"/>
      <c r="K9" s="106"/>
      <c r="L9" s="65"/>
      <c r="M9" s="65"/>
      <c r="N9" s="58"/>
    </row>
    <row r="10" spans="1:14" x14ac:dyDescent="0.3">
      <c r="A10" s="85"/>
      <c r="B10" s="85"/>
      <c r="C10" s="87"/>
      <c r="D10" s="25" t="s">
        <v>46</v>
      </c>
      <c r="E10" s="85"/>
      <c r="F10" s="35">
        <v>1</v>
      </c>
      <c r="G10" s="45">
        <v>5</v>
      </c>
      <c r="H10" s="30">
        <v>1</v>
      </c>
      <c r="I10" s="75"/>
      <c r="J10" s="80"/>
      <c r="K10" s="106"/>
      <c r="L10" s="65"/>
      <c r="M10" s="65"/>
      <c r="N10" s="56" t="s">
        <v>47</v>
      </c>
    </row>
    <row r="11" spans="1:14" x14ac:dyDescent="0.3">
      <c r="A11" s="85"/>
      <c r="B11" s="85"/>
      <c r="C11" s="87"/>
      <c r="D11" s="41" t="s">
        <v>48</v>
      </c>
      <c r="E11" s="85"/>
      <c r="F11" s="35">
        <v>1</v>
      </c>
      <c r="G11" s="37">
        <v>5</v>
      </c>
      <c r="H11" s="30">
        <v>1</v>
      </c>
      <c r="I11" s="75"/>
      <c r="J11" s="80"/>
      <c r="K11" s="106"/>
      <c r="L11" s="65"/>
      <c r="M11" s="65"/>
      <c r="N11" s="46"/>
    </row>
    <row r="12" spans="1:14" x14ac:dyDescent="0.3">
      <c r="A12" s="85"/>
      <c r="B12" s="85"/>
      <c r="C12" s="87"/>
      <c r="D12" s="41" t="s">
        <v>49</v>
      </c>
      <c r="E12" s="86"/>
      <c r="F12" s="35">
        <v>1</v>
      </c>
      <c r="G12" s="37">
        <v>5</v>
      </c>
      <c r="H12" s="30">
        <v>1</v>
      </c>
      <c r="I12" s="76"/>
      <c r="J12" s="81"/>
      <c r="K12" s="107"/>
      <c r="L12" s="31"/>
      <c r="M12" s="31"/>
      <c r="N12" s="46"/>
    </row>
    <row r="13" spans="1:14" x14ac:dyDescent="0.3">
      <c r="A13" s="85"/>
      <c r="B13" s="85"/>
      <c r="C13" s="93" t="s">
        <v>50</v>
      </c>
      <c r="D13" s="24" t="s">
        <v>51</v>
      </c>
      <c r="E13" s="84" t="s">
        <v>41</v>
      </c>
      <c r="F13" s="35">
        <v>5</v>
      </c>
      <c r="G13" s="37">
        <v>5</v>
      </c>
      <c r="H13" s="30">
        <v>1</v>
      </c>
      <c r="I13" s="75">
        <f>AVERAGE(H13:H16)</f>
        <v>1</v>
      </c>
      <c r="J13" s="96">
        <v>46160</v>
      </c>
      <c r="K13" s="99">
        <v>46167</v>
      </c>
      <c r="L13" s="64"/>
      <c r="M13" s="64"/>
      <c r="N13" s="56"/>
    </row>
    <row r="14" spans="1:14" x14ac:dyDescent="0.3">
      <c r="A14" s="85"/>
      <c r="B14" s="85"/>
      <c r="C14" s="93"/>
      <c r="D14" s="24" t="s">
        <v>16</v>
      </c>
      <c r="E14" s="85"/>
      <c r="F14" s="35">
        <v>1</v>
      </c>
      <c r="G14" s="82">
        <v>5</v>
      </c>
      <c r="H14" s="30">
        <v>1</v>
      </c>
      <c r="I14" s="75"/>
      <c r="J14" s="97"/>
      <c r="K14" s="100"/>
      <c r="L14" s="62"/>
      <c r="M14" s="62"/>
      <c r="N14" s="56" t="s">
        <v>52</v>
      </c>
    </row>
    <row r="15" spans="1:14" x14ac:dyDescent="0.3">
      <c r="A15" s="85"/>
      <c r="B15" s="85"/>
      <c r="C15" s="93"/>
      <c r="D15" s="41" t="s">
        <v>53</v>
      </c>
      <c r="E15" s="85"/>
      <c r="F15" s="35">
        <v>1</v>
      </c>
      <c r="G15" s="83"/>
      <c r="H15" s="30">
        <v>1</v>
      </c>
      <c r="I15" s="75"/>
      <c r="J15" s="97"/>
      <c r="K15" s="100"/>
      <c r="L15" s="62"/>
      <c r="M15" s="62"/>
      <c r="N15" s="56"/>
    </row>
    <row r="16" spans="1:14" x14ac:dyDescent="0.3">
      <c r="A16" s="85"/>
      <c r="B16" s="85"/>
      <c r="C16" s="89"/>
      <c r="D16" s="41" t="s">
        <v>54</v>
      </c>
      <c r="E16" s="85"/>
      <c r="F16" s="35">
        <v>1</v>
      </c>
      <c r="G16" s="37">
        <v>4</v>
      </c>
      <c r="H16" s="30">
        <v>1</v>
      </c>
      <c r="I16" s="75"/>
      <c r="J16" s="97"/>
      <c r="K16" s="100"/>
      <c r="L16" s="62"/>
      <c r="M16" s="62"/>
      <c r="N16" s="56" t="s">
        <v>47</v>
      </c>
    </row>
    <row r="17" spans="1:14" x14ac:dyDescent="0.3">
      <c r="A17" s="85"/>
      <c r="B17" s="85"/>
      <c r="C17" s="88" t="s">
        <v>55</v>
      </c>
      <c r="D17" s="41" t="s">
        <v>56</v>
      </c>
      <c r="E17" s="85"/>
      <c r="F17" s="35">
        <v>2</v>
      </c>
      <c r="G17" s="37">
        <v>7</v>
      </c>
      <c r="H17" s="30">
        <v>1</v>
      </c>
      <c r="I17" s="75">
        <f>AVERAGE(H17:H19)</f>
        <v>1</v>
      </c>
      <c r="J17" s="97"/>
      <c r="K17" s="100"/>
      <c r="L17" s="62"/>
      <c r="M17" s="62"/>
      <c r="N17" s="57" t="s">
        <v>57</v>
      </c>
    </row>
    <row r="18" spans="1:14" x14ac:dyDescent="0.3">
      <c r="A18" s="85"/>
      <c r="B18" s="85"/>
      <c r="C18" s="93"/>
      <c r="D18" s="41" t="s">
        <v>58</v>
      </c>
      <c r="E18" s="85"/>
      <c r="F18" s="35">
        <v>1</v>
      </c>
      <c r="G18" s="37">
        <v>2</v>
      </c>
      <c r="H18" s="30">
        <v>1</v>
      </c>
      <c r="I18" s="75"/>
      <c r="J18" s="97"/>
      <c r="K18" s="100"/>
      <c r="L18" s="62"/>
      <c r="M18" s="62"/>
      <c r="N18" s="46"/>
    </row>
    <row r="19" spans="1:14" x14ac:dyDescent="0.3">
      <c r="A19" s="85"/>
      <c r="B19" s="85"/>
      <c r="C19" s="89"/>
      <c r="D19" s="33" t="s">
        <v>59</v>
      </c>
      <c r="E19" s="86"/>
      <c r="F19" s="35">
        <v>1</v>
      </c>
      <c r="G19" s="37">
        <v>4</v>
      </c>
      <c r="H19" s="30">
        <v>1</v>
      </c>
      <c r="I19" s="75"/>
      <c r="J19" s="98"/>
      <c r="K19" s="101"/>
      <c r="L19" s="62"/>
      <c r="M19" s="62"/>
      <c r="N19" s="60"/>
    </row>
    <row r="20" spans="1:14" ht="57.6" x14ac:dyDescent="0.3">
      <c r="A20" s="85"/>
      <c r="B20" s="85"/>
      <c r="C20" s="88" t="s">
        <v>60</v>
      </c>
      <c r="D20" s="41" t="s">
        <v>61</v>
      </c>
      <c r="E20" s="84" t="s">
        <v>43</v>
      </c>
      <c r="F20" s="35">
        <v>5</v>
      </c>
      <c r="G20" s="37">
        <v>8</v>
      </c>
      <c r="H20" s="30">
        <v>1</v>
      </c>
      <c r="I20" s="77">
        <f>AVERAGE(H20:H28)</f>
        <v>1</v>
      </c>
      <c r="J20" s="102">
        <v>46137</v>
      </c>
      <c r="K20" s="108">
        <v>46182</v>
      </c>
      <c r="L20" s="66"/>
      <c r="M20" s="66"/>
      <c r="N20" s="59" t="s">
        <v>62</v>
      </c>
    </row>
    <row r="21" spans="1:14" x14ac:dyDescent="0.3">
      <c r="A21" s="85"/>
      <c r="B21" s="85"/>
      <c r="C21" s="93"/>
      <c r="D21" s="41" t="s">
        <v>63</v>
      </c>
      <c r="E21" s="85"/>
      <c r="F21" s="35">
        <v>1</v>
      </c>
      <c r="G21" s="37">
        <v>4</v>
      </c>
      <c r="H21" s="30">
        <v>1</v>
      </c>
      <c r="I21" s="77"/>
      <c r="J21" s="103"/>
      <c r="K21" s="100"/>
      <c r="L21" s="62"/>
      <c r="M21" s="62"/>
      <c r="N21" s="61"/>
    </row>
    <row r="22" spans="1:14" x14ac:dyDescent="0.3">
      <c r="A22" s="85"/>
      <c r="B22" s="85"/>
      <c r="C22" s="93"/>
      <c r="D22" s="41" t="s">
        <v>49</v>
      </c>
      <c r="E22" s="85"/>
      <c r="F22" s="35">
        <v>1</v>
      </c>
      <c r="G22" s="37">
        <v>6</v>
      </c>
      <c r="H22" s="30">
        <v>1</v>
      </c>
      <c r="I22" s="77"/>
      <c r="J22" s="103"/>
      <c r="K22" s="100"/>
      <c r="L22" s="62"/>
      <c r="M22" s="62"/>
      <c r="N22" s="46"/>
    </row>
    <row r="23" spans="1:14" ht="28.8" x14ac:dyDescent="0.3">
      <c r="A23" s="85"/>
      <c r="B23" s="85"/>
      <c r="C23" s="93"/>
      <c r="D23" s="41" t="s">
        <v>64</v>
      </c>
      <c r="E23" s="85"/>
      <c r="F23" s="35">
        <v>1</v>
      </c>
      <c r="G23" s="37">
        <v>4</v>
      </c>
      <c r="H23" s="30">
        <v>1</v>
      </c>
      <c r="I23" s="77"/>
      <c r="J23" s="103"/>
      <c r="K23" s="100"/>
      <c r="L23" s="62"/>
      <c r="M23" s="62"/>
      <c r="N23" s="46"/>
    </row>
    <row r="24" spans="1:14" x14ac:dyDescent="0.3">
      <c r="A24" s="85"/>
      <c r="B24" s="85"/>
      <c r="C24" s="93"/>
      <c r="D24" s="41" t="s">
        <v>65</v>
      </c>
      <c r="E24" s="85"/>
      <c r="F24" s="35">
        <v>5</v>
      </c>
      <c r="G24" s="37">
        <v>12</v>
      </c>
      <c r="H24" s="30">
        <v>1</v>
      </c>
      <c r="I24" s="77"/>
      <c r="J24" s="103"/>
      <c r="K24" s="100"/>
      <c r="L24" s="62"/>
      <c r="M24" s="62"/>
      <c r="N24" s="46"/>
    </row>
    <row r="25" spans="1:14" x14ac:dyDescent="0.3">
      <c r="A25" s="85"/>
      <c r="B25" s="85"/>
      <c r="C25" s="93"/>
      <c r="D25" s="41" t="s">
        <v>66</v>
      </c>
      <c r="E25" s="85"/>
      <c r="F25" s="35">
        <v>1</v>
      </c>
      <c r="G25" s="37">
        <v>3</v>
      </c>
      <c r="H25" s="30">
        <v>1</v>
      </c>
      <c r="I25" s="77"/>
      <c r="J25" s="103"/>
      <c r="K25" s="100"/>
      <c r="L25" s="62"/>
      <c r="M25" s="62"/>
      <c r="N25" s="46"/>
    </row>
    <row r="26" spans="1:14" x14ac:dyDescent="0.3">
      <c r="A26" s="85"/>
      <c r="B26" s="85"/>
      <c r="C26" s="93"/>
      <c r="D26" s="44" t="s">
        <v>67</v>
      </c>
      <c r="E26" s="85"/>
      <c r="F26" s="35">
        <v>3</v>
      </c>
      <c r="G26" s="37">
        <v>3</v>
      </c>
      <c r="H26" s="30">
        <v>1</v>
      </c>
      <c r="I26" s="77"/>
      <c r="J26" s="103"/>
      <c r="K26" s="100"/>
      <c r="L26" s="62"/>
      <c r="M26" s="62"/>
      <c r="N26" s="46"/>
    </row>
    <row r="27" spans="1:14" x14ac:dyDescent="0.3">
      <c r="A27" s="85"/>
      <c r="B27" s="85"/>
      <c r="C27" s="93"/>
      <c r="D27" s="8" t="s">
        <v>68</v>
      </c>
      <c r="E27" s="85"/>
      <c r="F27" s="35">
        <v>1</v>
      </c>
      <c r="G27" s="37">
        <v>5</v>
      </c>
      <c r="H27" s="30">
        <v>1</v>
      </c>
      <c r="I27" s="77"/>
      <c r="J27" s="103"/>
      <c r="K27" s="100"/>
      <c r="L27" s="62"/>
      <c r="M27" s="62"/>
      <c r="N27" s="46"/>
    </row>
    <row r="28" spans="1:14" x14ac:dyDescent="0.3">
      <c r="A28" s="85"/>
      <c r="B28" s="85"/>
      <c r="C28" s="89"/>
      <c r="D28" s="8" t="s">
        <v>69</v>
      </c>
      <c r="E28" s="86"/>
      <c r="F28" s="35">
        <v>1</v>
      </c>
      <c r="G28" s="37">
        <v>3</v>
      </c>
      <c r="H28" s="30">
        <v>1</v>
      </c>
      <c r="I28" s="78"/>
      <c r="J28" s="104"/>
      <c r="K28" s="101"/>
      <c r="L28" s="28"/>
      <c r="M28" s="28"/>
      <c r="N28" s="46"/>
    </row>
    <row r="29" spans="1:14" x14ac:dyDescent="0.3">
      <c r="A29" s="85"/>
      <c r="B29" s="85"/>
      <c r="C29" s="88" t="s">
        <v>70</v>
      </c>
      <c r="D29" s="33" t="s">
        <v>71</v>
      </c>
      <c r="E29" s="84" t="s">
        <v>41</v>
      </c>
      <c r="F29" s="35">
        <v>3</v>
      </c>
      <c r="G29" s="37">
        <v>5</v>
      </c>
      <c r="H29" s="12">
        <v>1</v>
      </c>
      <c r="I29" s="76">
        <f>AVERAGE(H29:H31)</f>
        <v>1</v>
      </c>
      <c r="J29" s="102">
        <v>46181</v>
      </c>
      <c r="K29" s="99">
        <v>46188</v>
      </c>
      <c r="L29" s="64"/>
      <c r="M29" s="64"/>
      <c r="N29" s="46"/>
    </row>
    <row r="30" spans="1:14" x14ac:dyDescent="0.3">
      <c r="A30" s="85"/>
      <c r="B30" s="85"/>
      <c r="C30" s="93"/>
      <c r="D30" s="8" t="s">
        <v>72</v>
      </c>
      <c r="E30" s="85"/>
      <c r="F30" s="35">
        <v>2</v>
      </c>
      <c r="G30" s="37">
        <v>3</v>
      </c>
      <c r="H30" s="30">
        <v>1</v>
      </c>
      <c r="I30" s="77"/>
      <c r="J30" s="103"/>
      <c r="K30" s="100"/>
      <c r="L30" s="67"/>
      <c r="M30" s="67"/>
      <c r="N30" t="s">
        <v>52</v>
      </c>
    </row>
    <row r="31" spans="1:14" x14ac:dyDescent="0.3">
      <c r="A31" s="85"/>
      <c r="B31" s="85"/>
      <c r="C31" s="89"/>
      <c r="D31" s="8" t="s">
        <v>73</v>
      </c>
      <c r="E31" s="85"/>
      <c r="F31" s="35">
        <v>5</v>
      </c>
      <c r="G31" s="37">
        <v>3</v>
      </c>
      <c r="H31" s="30">
        <v>1</v>
      </c>
      <c r="I31" s="77"/>
      <c r="J31" s="103"/>
      <c r="K31" s="100"/>
      <c r="L31" s="62"/>
      <c r="M31" s="62"/>
      <c r="N31" s="46"/>
    </row>
    <row r="32" spans="1:14" x14ac:dyDescent="0.3">
      <c r="A32" s="85"/>
      <c r="B32" s="85"/>
      <c r="C32" s="8" t="s">
        <v>74</v>
      </c>
      <c r="D32" s="8" t="s">
        <v>75</v>
      </c>
      <c r="E32" s="86"/>
      <c r="F32" s="35">
        <v>1</v>
      </c>
      <c r="G32" s="37">
        <v>7</v>
      </c>
      <c r="H32" s="30">
        <v>1</v>
      </c>
      <c r="I32" s="12">
        <f>H32</f>
        <v>1</v>
      </c>
      <c r="J32" s="98"/>
      <c r="K32" s="101"/>
      <c r="L32" s="28"/>
      <c r="M32" s="28"/>
      <c r="N32" s="46"/>
    </row>
    <row r="33" spans="1:14" ht="30.75" customHeight="1" x14ac:dyDescent="0.3">
      <c r="A33" s="85"/>
      <c r="B33" s="85"/>
      <c r="C33" s="90" t="s">
        <v>76</v>
      </c>
      <c r="D33" s="8" t="s">
        <v>77</v>
      </c>
      <c r="E33" s="84" t="s">
        <v>43</v>
      </c>
      <c r="F33" s="35">
        <v>1</v>
      </c>
      <c r="G33" s="37">
        <v>10</v>
      </c>
      <c r="H33" s="30">
        <v>1</v>
      </c>
      <c r="I33" s="77">
        <f>AVERAGE(H33:H36)</f>
        <v>1</v>
      </c>
      <c r="J33" s="102">
        <v>46209</v>
      </c>
      <c r="K33" s="99">
        <v>46223</v>
      </c>
      <c r="L33" s="64"/>
      <c r="M33" s="64"/>
      <c r="N33" s="46"/>
    </row>
    <row r="34" spans="1:14" x14ac:dyDescent="0.3">
      <c r="A34" s="85"/>
      <c r="B34" s="85"/>
      <c r="C34" s="91"/>
      <c r="D34" s="8" t="s">
        <v>78</v>
      </c>
      <c r="E34" s="85"/>
      <c r="F34" s="35">
        <v>1</v>
      </c>
      <c r="G34" s="37">
        <v>5</v>
      </c>
      <c r="H34" s="30">
        <v>1</v>
      </c>
      <c r="I34" s="77"/>
      <c r="J34" s="103"/>
      <c r="K34" s="100"/>
      <c r="L34" s="62"/>
      <c r="M34" s="62"/>
      <c r="N34" s="46"/>
    </row>
    <row r="35" spans="1:14" x14ac:dyDescent="0.3">
      <c r="A35" s="85"/>
      <c r="B35" s="85"/>
      <c r="C35" s="91"/>
      <c r="D35" s="8" t="s">
        <v>79</v>
      </c>
      <c r="E35" s="85"/>
      <c r="F35" s="35">
        <v>1</v>
      </c>
      <c r="G35" s="37">
        <v>4</v>
      </c>
      <c r="H35" s="30">
        <v>1</v>
      </c>
      <c r="I35" s="77"/>
      <c r="J35" s="103"/>
      <c r="K35" s="100"/>
      <c r="L35" s="62"/>
      <c r="M35" s="62"/>
      <c r="N35" s="46"/>
    </row>
    <row r="36" spans="1:14" x14ac:dyDescent="0.3">
      <c r="A36" s="85"/>
      <c r="B36" s="85"/>
      <c r="C36" s="92"/>
      <c r="D36" s="25" t="s">
        <v>69</v>
      </c>
      <c r="E36" s="85"/>
      <c r="F36" s="35">
        <v>1</v>
      </c>
      <c r="G36" s="37">
        <v>6</v>
      </c>
      <c r="H36" s="30">
        <v>1</v>
      </c>
      <c r="I36" s="78"/>
      <c r="J36" s="103"/>
      <c r="K36" s="100"/>
      <c r="L36" s="62"/>
      <c r="M36" s="62"/>
      <c r="N36" s="46"/>
    </row>
    <row r="37" spans="1:14" ht="28.8" x14ac:dyDescent="0.3">
      <c r="A37" s="85"/>
      <c r="B37" s="85"/>
      <c r="C37" s="88" t="s">
        <v>80</v>
      </c>
      <c r="D37" s="6" t="s">
        <v>72</v>
      </c>
      <c r="E37" s="85"/>
      <c r="F37" s="35">
        <v>2</v>
      </c>
      <c r="G37" s="37">
        <v>5</v>
      </c>
      <c r="H37" s="30">
        <v>1</v>
      </c>
      <c r="I37" s="76">
        <f>AVERAGE(H37:H43)</f>
        <v>0.9285714285714286</v>
      </c>
      <c r="J37" s="103"/>
      <c r="K37" s="100"/>
      <c r="L37" s="62"/>
      <c r="M37" s="62"/>
      <c r="N37" s="8" t="s">
        <v>81</v>
      </c>
    </row>
    <row r="38" spans="1:14" x14ac:dyDescent="0.3">
      <c r="A38" s="85"/>
      <c r="B38" s="85"/>
      <c r="C38" s="93"/>
      <c r="D38" s="8" t="s">
        <v>82</v>
      </c>
      <c r="E38" s="85"/>
      <c r="F38" s="35">
        <v>2</v>
      </c>
      <c r="G38" s="37">
        <v>5</v>
      </c>
      <c r="H38" s="30">
        <v>0.9</v>
      </c>
      <c r="I38" s="77"/>
      <c r="J38" s="103"/>
      <c r="K38" s="100"/>
      <c r="L38" s="62"/>
      <c r="M38" s="62"/>
      <c r="N38" s="46"/>
    </row>
    <row r="39" spans="1:14" x14ac:dyDescent="0.3">
      <c r="A39" s="85"/>
      <c r="B39" s="85"/>
      <c r="C39" s="93"/>
      <c r="D39" s="42" t="s">
        <v>83</v>
      </c>
      <c r="E39" s="85"/>
      <c r="F39" s="35">
        <v>2</v>
      </c>
      <c r="G39" s="37">
        <v>3</v>
      </c>
      <c r="H39" s="30">
        <v>0.9</v>
      </c>
      <c r="I39" s="77"/>
      <c r="J39" s="103"/>
      <c r="K39" s="100"/>
      <c r="L39" s="62"/>
      <c r="M39" s="62"/>
      <c r="N39" s="46"/>
    </row>
    <row r="40" spans="1:14" x14ac:dyDescent="0.3">
      <c r="A40" s="85"/>
      <c r="B40" s="85"/>
      <c r="C40" s="93"/>
      <c r="D40" s="8" t="s">
        <v>69</v>
      </c>
      <c r="E40" s="85"/>
      <c r="F40" s="35">
        <v>2</v>
      </c>
      <c r="G40" s="37">
        <v>4</v>
      </c>
      <c r="H40" s="30">
        <v>1</v>
      </c>
      <c r="I40" s="77"/>
      <c r="J40" s="103"/>
      <c r="K40" s="100"/>
      <c r="L40" s="62"/>
      <c r="M40" s="62"/>
      <c r="N40" s="46"/>
    </row>
    <row r="41" spans="1:14" x14ac:dyDescent="0.3">
      <c r="A41" s="85"/>
      <c r="B41" s="85"/>
      <c r="C41" s="93"/>
      <c r="D41" s="8" t="s">
        <v>84</v>
      </c>
      <c r="E41" s="85"/>
      <c r="F41" s="35">
        <v>4</v>
      </c>
      <c r="G41" s="37">
        <v>2</v>
      </c>
      <c r="H41" s="30">
        <v>0.7</v>
      </c>
      <c r="I41" s="77"/>
      <c r="J41" s="103"/>
      <c r="K41" s="100"/>
      <c r="L41" s="62"/>
      <c r="M41" s="62"/>
      <c r="N41" s="68" t="s">
        <v>85</v>
      </c>
    </row>
    <row r="42" spans="1:14" x14ac:dyDescent="0.3">
      <c r="A42" s="85"/>
      <c r="B42" s="85"/>
      <c r="C42" s="93"/>
      <c r="D42" s="33" t="s">
        <v>86</v>
      </c>
      <c r="E42" s="85"/>
      <c r="F42" s="35">
        <v>2</v>
      </c>
      <c r="G42" s="37">
        <v>6</v>
      </c>
      <c r="H42" s="30">
        <v>1</v>
      </c>
      <c r="I42" s="77"/>
      <c r="J42" s="103"/>
      <c r="K42" s="100"/>
      <c r="L42" s="62"/>
      <c r="M42" s="62"/>
      <c r="N42" s="69"/>
    </row>
    <row r="43" spans="1:14" x14ac:dyDescent="0.3">
      <c r="A43" s="85"/>
      <c r="B43" s="85"/>
      <c r="C43" s="93"/>
      <c r="D43" s="43" t="s">
        <v>87</v>
      </c>
      <c r="E43" s="85"/>
      <c r="F43" s="35">
        <v>2</v>
      </c>
      <c r="G43" s="37">
        <v>2</v>
      </c>
      <c r="H43" s="30">
        <v>1</v>
      </c>
      <c r="I43" s="77"/>
      <c r="J43" s="103"/>
      <c r="K43" s="100"/>
      <c r="L43" s="62"/>
      <c r="M43" s="62"/>
      <c r="N43" s="46"/>
    </row>
    <row r="44" spans="1:14" x14ac:dyDescent="0.3">
      <c r="A44" s="85"/>
      <c r="B44" s="85"/>
      <c r="C44" s="89"/>
      <c r="D44" s="43" t="s">
        <v>88</v>
      </c>
      <c r="E44" s="86"/>
      <c r="F44" s="35">
        <v>2</v>
      </c>
      <c r="G44" s="37"/>
      <c r="H44" s="30">
        <v>0</v>
      </c>
      <c r="I44" s="78"/>
      <c r="J44" s="104"/>
      <c r="K44" s="101"/>
      <c r="L44" s="28"/>
      <c r="M44" s="28"/>
      <c r="N44" s="46"/>
    </row>
    <row r="45" spans="1:14" x14ac:dyDescent="0.3">
      <c r="A45" s="85"/>
      <c r="B45" s="85"/>
      <c r="C45" s="88" t="s">
        <v>89</v>
      </c>
      <c r="D45" s="8" t="s">
        <v>90</v>
      </c>
      <c r="E45" s="84" t="s">
        <v>41</v>
      </c>
      <c r="F45" s="35">
        <v>5</v>
      </c>
      <c r="G45" s="37">
        <v>6</v>
      </c>
      <c r="H45" s="30">
        <v>1</v>
      </c>
      <c r="I45" s="75">
        <f>AVERAGE(H45:H46)</f>
        <v>1</v>
      </c>
      <c r="J45" s="96">
        <v>46198</v>
      </c>
      <c r="K45" s="99">
        <v>46209</v>
      </c>
      <c r="L45" s="64"/>
      <c r="M45" s="64"/>
      <c r="N45" s="46"/>
    </row>
    <row r="46" spans="1:14" x14ac:dyDescent="0.3">
      <c r="A46" s="85"/>
      <c r="B46" s="85"/>
      <c r="C46" s="89"/>
      <c r="D46" s="8" t="s">
        <v>74</v>
      </c>
      <c r="E46" s="85"/>
      <c r="F46" s="35">
        <v>3</v>
      </c>
      <c r="G46" s="37">
        <v>6</v>
      </c>
      <c r="H46" s="30">
        <v>1</v>
      </c>
      <c r="I46" s="75"/>
      <c r="J46" s="97"/>
      <c r="K46" s="100"/>
      <c r="L46" s="62"/>
      <c r="M46" s="62"/>
      <c r="N46" s="46"/>
    </row>
    <row r="47" spans="1:14" x14ac:dyDescent="0.3">
      <c r="A47" s="85"/>
      <c r="B47" s="85"/>
      <c r="C47" s="42" t="s">
        <v>91</v>
      </c>
      <c r="D47" s="8"/>
      <c r="E47" s="85"/>
      <c r="F47" s="35">
        <v>5</v>
      </c>
      <c r="G47" s="37">
        <v>12</v>
      </c>
      <c r="H47" s="30">
        <v>1</v>
      </c>
      <c r="I47" s="12">
        <f>H47</f>
        <v>1</v>
      </c>
      <c r="J47" s="97"/>
      <c r="K47" s="100"/>
      <c r="L47" s="62"/>
      <c r="M47" s="62"/>
      <c r="N47" s="56"/>
    </row>
    <row r="48" spans="1:14" x14ac:dyDescent="0.3">
      <c r="A48" s="85"/>
      <c r="B48" s="85"/>
      <c r="C48" s="8" t="s">
        <v>92</v>
      </c>
      <c r="D48" s="8"/>
      <c r="E48" s="86"/>
      <c r="F48" s="35">
        <v>3</v>
      </c>
      <c r="G48" s="37">
        <v>5</v>
      </c>
      <c r="H48" s="30">
        <v>1</v>
      </c>
      <c r="I48" s="12">
        <f>H48</f>
        <v>1</v>
      </c>
      <c r="J48" s="98"/>
      <c r="K48" s="101"/>
      <c r="L48" s="28"/>
      <c r="M48" s="28"/>
      <c r="N48" s="46"/>
    </row>
    <row r="49" spans="1:14" ht="28.8" x14ac:dyDescent="0.3">
      <c r="A49" s="86"/>
      <c r="B49" s="86"/>
      <c r="C49" s="33" t="s">
        <v>93</v>
      </c>
      <c r="D49" s="33"/>
      <c r="E49" s="26" t="s">
        <v>41</v>
      </c>
      <c r="F49" s="35">
        <v>2</v>
      </c>
      <c r="G49" s="37">
        <v>4</v>
      </c>
      <c r="H49" s="30">
        <v>1</v>
      </c>
      <c r="I49" s="12">
        <f>H49</f>
        <v>1</v>
      </c>
      <c r="J49" s="55">
        <v>46220</v>
      </c>
      <c r="K49" s="52">
        <v>46223</v>
      </c>
      <c r="L49" s="52"/>
      <c r="M49" s="52"/>
      <c r="N49" s="46" t="s">
        <v>94</v>
      </c>
    </row>
    <row r="50" spans="1:14" x14ac:dyDescent="0.3">
      <c r="A50" s="15">
        <v>5</v>
      </c>
      <c r="B50" s="33" t="s">
        <v>18</v>
      </c>
      <c r="C50" s="15" t="s">
        <v>9</v>
      </c>
      <c r="D50" s="16" t="s">
        <v>9</v>
      </c>
      <c r="E50" s="17" t="s">
        <v>19</v>
      </c>
      <c r="F50" s="7">
        <v>5</v>
      </c>
      <c r="G50" s="11">
        <v>5</v>
      </c>
      <c r="H50" s="12">
        <v>0.9</v>
      </c>
      <c r="I50" s="54"/>
      <c r="J50" s="31">
        <v>46211</v>
      </c>
      <c r="K50" s="47">
        <v>46217</v>
      </c>
      <c r="L50" s="47"/>
      <c r="M50" s="47"/>
      <c r="N50" s="46"/>
    </row>
    <row r="51" spans="1:14" x14ac:dyDescent="0.3">
      <c r="A51" s="7">
        <v>6</v>
      </c>
      <c r="B51" s="8" t="s">
        <v>20</v>
      </c>
      <c r="C51" s="7" t="s">
        <v>9</v>
      </c>
      <c r="D51" s="9" t="s">
        <v>9</v>
      </c>
      <c r="E51" s="18" t="s">
        <v>21</v>
      </c>
      <c r="F51" s="15">
        <v>1</v>
      </c>
      <c r="G51" s="11">
        <v>0</v>
      </c>
      <c r="H51" s="12">
        <v>0</v>
      </c>
      <c r="I51" s="12"/>
      <c r="J51" s="14">
        <v>46224</v>
      </c>
      <c r="K51" s="14">
        <v>46224</v>
      </c>
      <c r="L51" s="14"/>
      <c r="M51" s="14"/>
      <c r="N51" s="46"/>
    </row>
    <row r="52" spans="1:14" x14ac:dyDescent="0.3">
      <c r="A52" s="7">
        <v>7</v>
      </c>
      <c r="B52" s="8" t="s">
        <v>22</v>
      </c>
      <c r="C52" s="7" t="s">
        <v>9</v>
      </c>
      <c r="D52" s="9" t="s">
        <v>9</v>
      </c>
      <c r="E52" s="18" t="s">
        <v>32</v>
      </c>
      <c r="F52" s="7">
        <v>5</v>
      </c>
      <c r="G52" s="11">
        <v>5</v>
      </c>
      <c r="H52" s="12">
        <v>0</v>
      </c>
      <c r="I52" s="12"/>
      <c r="J52" s="14">
        <v>46217</v>
      </c>
      <c r="K52" s="48">
        <v>46223</v>
      </c>
      <c r="L52" s="48"/>
      <c r="M52" s="48"/>
      <c r="N52" s="46"/>
    </row>
    <row r="53" spans="1:14" x14ac:dyDescent="0.3">
      <c r="A53" s="7">
        <v>8</v>
      </c>
      <c r="B53" s="9" t="s">
        <v>23</v>
      </c>
      <c r="C53" s="7" t="s">
        <v>9</v>
      </c>
      <c r="D53" s="9" t="s">
        <v>9</v>
      </c>
      <c r="E53" s="18" t="s">
        <v>33</v>
      </c>
      <c r="F53" s="7">
        <v>1</v>
      </c>
      <c r="G53" s="11">
        <v>0</v>
      </c>
      <c r="H53" s="12">
        <v>0</v>
      </c>
      <c r="I53" s="12"/>
      <c r="J53" s="14">
        <v>46224</v>
      </c>
      <c r="K53" s="48">
        <v>46224</v>
      </c>
      <c r="L53" s="48"/>
      <c r="M53" s="48"/>
      <c r="N53" s="46"/>
    </row>
    <row r="54" spans="1:14" x14ac:dyDescent="0.3">
      <c r="A54" s="7">
        <v>9</v>
      </c>
      <c r="B54" s="8" t="s">
        <v>24</v>
      </c>
      <c r="C54" s="7" t="s">
        <v>9</v>
      </c>
      <c r="D54" s="9" t="s">
        <v>9</v>
      </c>
      <c r="E54" s="18" t="s">
        <v>10</v>
      </c>
      <c r="F54" s="7">
        <v>7</v>
      </c>
      <c r="G54" s="11">
        <v>2</v>
      </c>
      <c r="H54" s="12">
        <v>0</v>
      </c>
      <c r="I54" s="12"/>
      <c r="J54" s="14">
        <v>46224</v>
      </c>
      <c r="K54" s="48">
        <v>46232</v>
      </c>
      <c r="L54" s="48"/>
      <c r="M54" s="48"/>
      <c r="N54" s="46"/>
    </row>
    <row r="55" spans="1:14" x14ac:dyDescent="0.3">
      <c r="A55" s="7">
        <v>10</v>
      </c>
      <c r="B55" s="8" t="s">
        <v>25</v>
      </c>
      <c r="C55" s="7" t="s">
        <v>9</v>
      </c>
      <c r="D55" s="9" t="s">
        <v>9</v>
      </c>
      <c r="E55" s="18" t="s">
        <v>10</v>
      </c>
      <c r="F55" s="7">
        <v>2</v>
      </c>
      <c r="G55" s="11">
        <v>0</v>
      </c>
      <c r="H55" s="12">
        <v>0</v>
      </c>
      <c r="I55" s="12"/>
      <c r="J55" s="14">
        <v>46233</v>
      </c>
      <c r="K55" s="48">
        <v>46234</v>
      </c>
      <c r="L55" s="48"/>
      <c r="M55" s="48"/>
      <c r="N55" s="46"/>
    </row>
    <row r="56" spans="1:14" x14ac:dyDescent="0.3">
      <c r="A56" s="7">
        <v>11</v>
      </c>
      <c r="B56" s="8" t="s">
        <v>26</v>
      </c>
      <c r="C56" s="7" t="s">
        <v>9</v>
      </c>
      <c r="D56" s="9" t="s">
        <v>9</v>
      </c>
      <c r="E56" s="18" t="s">
        <v>10</v>
      </c>
      <c r="F56" s="7">
        <v>10</v>
      </c>
      <c r="G56" s="11">
        <v>4</v>
      </c>
      <c r="H56" s="12">
        <v>0</v>
      </c>
      <c r="I56" s="12"/>
      <c r="J56" s="14">
        <v>46237</v>
      </c>
      <c r="K56" s="48">
        <v>46248</v>
      </c>
      <c r="L56" s="48"/>
      <c r="M56" s="48"/>
      <c r="N56" s="46"/>
    </row>
    <row r="57" spans="1:14" x14ac:dyDescent="0.3">
      <c r="A57" s="7">
        <v>12</v>
      </c>
      <c r="B57" s="8" t="s">
        <v>27</v>
      </c>
      <c r="C57" s="7" t="s">
        <v>9</v>
      </c>
      <c r="D57" s="9" t="s">
        <v>9</v>
      </c>
      <c r="E57" s="18" t="s">
        <v>10</v>
      </c>
      <c r="F57" s="7">
        <v>1</v>
      </c>
      <c r="G57" s="11">
        <v>2</v>
      </c>
      <c r="H57" s="12">
        <v>0</v>
      </c>
      <c r="I57" s="30"/>
      <c r="J57" s="48">
        <v>46252</v>
      </c>
      <c r="K57" s="48">
        <v>46252</v>
      </c>
      <c r="L57" s="48"/>
      <c r="M57" s="48"/>
      <c r="N57" s="46"/>
    </row>
    <row r="58" spans="1:14" x14ac:dyDescent="0.3">
      <c r="A58" s="7">
        <v>13</v>
      </c>
      <c r="B58" s="8" t="s">
        <v>28</v>
      </c>
      <c r="C58" s="7" t="s">
        <v>9</v>
      </c>
      <c r="D58" s="9" t="s">
        <v>9</v>
      </c>
      <c r="E58" s="18" t="s">
        <v>10</v>
      </c>
      <c r="F58" s="7">
        <v>1</v>
      </c>
      <c r="G58" s="11">
        <v>1</v>
      </c>
      <c r="H58" s="12">
        <v>0</v>
      </c>
      <c r="I58" s="12"/>
      <c r="J58" s="14">
        <v>46253</v>
      </c>
      <c r="K58" s="48">
        <v>46254</v>
      </c>
      <c r="L58" s="48"/>
      <c r="M58" s="48"/>
      <c r="N58" s="46"/>
    </row>
    <row r="59" spans="1:14" x14ac:dyDescent="0.3">
      <c r="A59" s="7">
        <v>14</v>
      </c>
      <c r="B59" s="8" t="s">
        <v>29</v>
      </c>
      <c r="C59" s="7" t="s">
        <v>9</v>
      </c>
      <c r="D59" s="9" t="s">
        <v>9</v>
      </c>
      <c r="E59" s="18" t="s">
        <v>10</v>
      </c>
      <c r="F59" s="7">
        <v>1</v>
      </c>
      <c r="G59" s="11">
        <v>2</v>
      </c>
      <c r="H59" s="12">
        <v>0</v>
      </c>
      <c r="I59" s="12"/>
      <c r="J59" s="14">
        <v>46255</v>
      </c>
      <c r="K59" s="48">
        <v>46255</v>
      </c>
      <c r="L59" s="48"/>
      <c r="M59" s="48"/>
      <c r="N59" s="46"/>
    </row>
    <row r="60" spans="1:14" x14ac:dyDescent="0.3">
      <c r="A60" s="3"/>
      <c r="B60" s="5"/>
      <c r="C60" s="3"/>
      <c r="D60" s="4"/>
      <c r="E60" s="5" t="s">
        <v>30</v>
      </c>
      <c r="F60" s="19">
        <f>SUM(F4:F59)</f>
        <v>147</v>
      </c>
      <c r="G60" s="20">
        <f>SUM(G4:G59)</f>
        <v>265</v>
      </c>
      <c r="H60" s="3"/>
      <c r="I60" s="3"/>
      <c r="J60" s="3"/>
      <c r="K60" s="3"/>
      <c r="L60" s="3"/>
      <c r="M60" s="3"/>
      <c r="N60" s="5"/>
    </row>
    <row r="61" spans="1:14" x14ac:dyDescent="0.3">
      <c r="A61" s="3"/>
      <c r="B61" s="3"/>
      <c r="C61" s="6"/>
      <c r="D61" s="21"/>
      <c r="E61" s="3"/>
      <c r="F61" s="3"/>
      <c r="G61" s="3"/>
      <c r="H61" s="5"/>
    </row>
    <row r="62" spans="1:14" x14ac:dyDescent="0.3">
      <c r="A62" s="3"/>
      <c r="B62" s="3"/>
      <c r="C62" s="6"/>
      <c r="D62" s="3"/>
      <c r="E62" s="3"/>
      <c r="F62" s="3"/>
      <c r="G62" s="3"/>
      <c r="H62" s="5"/>
    </row>
    <row r="63" spans="1:14" x14ac:dyDescent="0.3">
      <c r="A63" s="3"/>
      <c r="B63" s="3"/>
      <c r="C63" s="6"/>
      <c r="D63" s="3"/>
      <c r="E63" s="3"/>
      <c r="F63" s="3"/>
      <c r="G63" s="3"/>
      <c r="H63" s="5"/>
    </row>
    <row r="64" spans="1:14" x14ac:dyDescent="0.3">
      <c r="A64" s="3"/>
      <c r="B64" s="3"/>
      <c r="C64" s="6"/>
      <c r="D64" s="3"/>
      <c r="E64" s="3"/>
      <c r="F64" s="3"/>
      <c r="G64" s="3"/>
      <c r="H64" s="5"/>
    </row>
    <row r="65" spans="1:8" x14ac:dyDescent="0.3">
      <c r="A65" s="3"/>
      <c r="B65" s="3"/>
      <c r="C65" s="6"/>
      <c r="D65" s="3"/>
      <c r="E65" s="3"/>
      <c r="F65" s="3"/>
      <c r="G65" s="3"/>
      <c r="H65" s="5"/>
    </row>
    <row r="66" spans="1:8" x14ac:dyDescent="0.3">
      <c r="A66" s="3"/>
      <c r="B66" s="3"/>
      <c r="C66" s="6"/>
      <c r="D66" s="3"/>
      <c r="E66" s="3"/>
      <c r="F66" s="3"/>
      <c r="G66" s="3"/>
      <c r="H66" s="5"/>
    </row>
    <row r="67" spans="1:8" x14ac:dyDescent="0.3">
      <c r="A67" s="3"/>
      <c r="B67" s="3"/>
      <c r="C67" s="6"/>
      <c r="D67" s="3"/>
      <c r="E67" s="3"/>
      <c r="F67" s="3"/>
      <c r="G67" s="3"/>
      <c r="H67" s="5"/>
    </row>
    <row r="68" spans="1:8" x14ac:dyDescent="0.3">
      <c r="A68" s="3"/>
      <c r="B68" s="3"/>
      <c r="C68" s="6"/>
      <c r="D68" s="3"/>
      <c r="E68" s="3"/>
      <c r="F68" s="3"/>
      <c r="G68" s="3"/>
      <c r="H68" s="5"/>
    </row>
    <row r="69" spans="1:8" x14ac:dyDescent="0.3">
      <c r="A69" s="3"/>
      <c r="B69" s="3"/>
      <c r="C69" s="6"/>
      <c r="D69" s="3"/>
      <c r="E69" s="3"/>
      <c r="F69" s="3"/>
      <c r="G69" s="3"/>
      <c r="H69" s="5"/>
    </row>
    <row r="70" spans="1:8" x14ac:dyDescent="0.3">
      <c r="A70" s="3"/>
      <c r="B70" s="3"/>
      <c r="C70" s="22"/>
      <c r="D70" s="3"/>
      <c r="E70" s="3"/>
      <c r="F70" s="3"/>
      <c r="G70" s="3"/>
      <c r="H70" s="5"/>
    </row>
    <row r="71" spans="1:8" x14ac:dyDescent="0.3">
      <c r="F71"/>
    </row>
  </sheetData>
  <mergeCells count="51">
    <mergeCell ref="L2:M2"/>
    <mergeCell ref="J45:J48"/>
    <mergeCell ref="K45:K48"/>
    <mergeCell ref="J29:J32"/>
    <mergeCell ref="J33:J44"/>
    <mergeCell ref="K33:K44"/>
    <mergeCell ref="K29:K32"/>
    <mergeCell ref="K7:K12"/>
    <mergeCell ref="J13:J19"/>
    <mergeCell ref="K13:K19"/>
    <mergeCell ref="J20:J28"/>
    <mergeCell ref="K20:K28"/>
    <mergeCell ref="A7:A49"/>
    <mergeCell ref="C8:C12"/>
    <mergeCell ref="C45:C46"/>
    <mergeCell ref="C33:C36"/>
    <mergeCell ref="C13:C16"/>
    <mergeCell ref="B7:B49"/>
    <mergeCell ref="C17:C19"/>
    <mergeCell ref="C20:C28"/>
    <mergeCell ref="C29:C31"/>
    <mergeCell ref="C37:C44"/>
    <mergeCell ref="I45:I46"/>
    <mergeCell ref="I13:I16"/>
    <mergeCell ref="G14:G15"/>
    <mergeCell ref="I37:I44"/>
    <mergeCell ref="E7:E12"/>
    <mergeCell ref="E13:E19"/>
    <mergeCell ref="I17:I19"/>
    <mergeCell ref="I33:I36"/>
    <mergeCell ref="I29:I31"/>
    <mergeCell ref="E45:E48"/>
    <mergeCell ref="E20:E28"/>
    <mergeCell ref="E29:E32"/>
    <mergeCell ref="E33:E44"/>
    <mergeCell ref="N41:N42"/>
    <mergeCell ref="J2:J3"/>
    <mergeCell ref="K2:K3"/>
    <mergeCell ref="N2:N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I8:I12"/>
    <mergeCell ref="I20:I28"/>
    <mergeCell ref="J7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E8AA-9C61-41BD-885E-E6B40AEF121B}">
  <dimension ref="A1:E7"/>
  <sheetViews>
    <sheetView workbookViewId="0">
      <selection activeCell="C8" sqref="C8"/>
    </sheetView>
  </sheetViews>
  <sheetFormatPr defaultRowHeight="14.4" x14ac:dyDescent="0.3"/>
  <cols>
    <col min="2" max="2" width="13.33203125" bestFit="1" customWidth="1"/>
    <col min="3" max="3" width="17.5546875" bestFit="1" customWidth="1"/>
    <col min="4" max="4" width="16.21875" bestFit="1" customWidth="1"/>
    <col min="5" max="5" width="13.44140625" bestFit="1" customWidth="1"/>
  </cols>
  <sheetData>
    <row r="1" spans="1:5" x14ac:dyDescent="0.3">
      <c r="A1" t="s">
        <v>0</v>
      </c>
      <c r="B1" t="s">
        <v>96</v>
      </c>
      <c r="C1" t="s">
        <v>97</v>
      </c>
      <c r="D1" t="s">
        <v>98</v>
      </c>
      <c r="E1" t="s">
        <v>99</v>
      </c>
    </row>
    <row r="2" spans="1:5" x14ac:dyDescent="0.3">
      <c r="A2">
        <v>1</v>
      </c>
      <c r="B2" t="s">
        <v>31</v>
      </c>
      <c r="C2" t="s">
        <v>100</v>
      </c>
      <c r="D2" t="s">
        <v>101</v>
      </c>
      <c r="E2" t="s">
        <v>102</v>
      </c>
    </row>
    <row r="3" spans="1:5" x14ac:dyDescent="0.3">
      <c r="A3">
        <v>2</v>
      </c>
      <c r="B3" t="s">
        <v>95</v>
      </c>
      <c r="C3" t="s">
        <v>103</v>
      </c>
      <c r="D3" t="s">
        <v>104</v>
      </c>
      <c r="E3" t="s">
        <v>105</v>
      </c>
    </row>
    <row r="4" spans="1:5" x14ac:dyDescent="0.3">
      <c r="A4">
        <v>3</v>
      </c>
      <c r="B4" t="s">
        <v>106</v>
      </c>
      <c r="C4" t="s">
        <v>103</v>
      </c>
      <c r="D4" t="s">
        <v>107</v>
      </c>
      <c r="E4" t="s">
        <v>108</v>
      </c>
    </row>
    <row r="5" spans="1:5" x14ac:dyDescent="0.3">
      <c r="A5">
        <v>4</v>
      </c>
      <c r="B5" t="s">
        <v>34</v>
      </c>
      <c r="C5" t="s">
        <v>103</v>
      </c>
      <c r="D5" t="s">
        <v>109</v>
      </c>
      <c r="E5" t="s">
        <v>110</v>
      </c>
    </row>
    <row r="6" spans="1:5" x14ac:dyDescent="0.3">
      <c r="A6">
        <v>5</v>
      </c>
      <c r="B6" t="s">
        <v>111</v>
      </c>
      <c r="C6" t="s">
        <v>103</v>
      </c>
      <c r="D6" t="s">
        <v>112</v>
      </c>
      <c r="E6" t="s">
        <v>113</v>
      </c>
    </row>
    <row r="7" spans="1:5" x14ac:dyDescent="0.3">
      <c r="A7">
        <v>6</v>
      </c>
      <c r="B7" t="s">
        <v>35</v>
      </c>
      <c r="C7" t="s">
        <v>114</v>
      </c>
      <c r="D7" t="s">
        <v>115</v>
      </c>
      <c r="E7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75ec31-c013-4fbf-b2b8-16fc175a7567" xsi:nil="true"/>
    <_ip_UnifiedCompliancePolicyProperties xmlns="http://schemas.microsoft.com/sharepoint/v3" xsi:nil="true"/>
    <Status xmlns="70b30b2d-a1ad-4203-83cf-ddd266e30e07" xsi:nil="true"/>
    <lcf76f155ced4ddcb4097134ff3c332f xmlns="70b30b2d-a1ad-4203-83cf-ddd266e30e0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6A356F76AD64A642A378F216D1907E97" ma:contentTypeVersion="24" ma:contentTypeDescription="Buat sebuah dokumen baru." ma:contentTypeScope="" ma:versionID="9cb306f355209b383fee221db87f0fd1">
  <xsd:schema xmlns:xsd="http://www.w3.org/2001/XMLSchema" xmlns:xs="http://www.w3.org/2001/XMLSchema" xmlns:p="http://schemas.microsoft.com/office/2006/metadata/properties" xmlns:ns1="http://schemas.microsoft.com/sharepoint/v3" xmlns:ns2="70b30b2d-a1ad-4203-83cf-ddd266e30e07" xmlns:ns3="c975ec31-c013-4fbf-b2b8-16fc175a7567" targetNamespace="http://schemas.microsoft.com/office/2006/metadata/properties" ma:root="true" ma:fieldsID="aab6e588efa9d069e7b192f71b6b69ce" ns1:_="" ns2:_="" ns3:_="">
    <xsd:import namespace="http://schemas.microsoft.com/sharepoint/v3"/>
    <xsd:import namespace="70b30b2d-a1ad-4203-83cf-ddd266e30e07"/>
    <xsd:import namespace="c975ec31-c013-4fbf-b2b8-16fc175a7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Statu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Properti Kebijakan Kepatuhan Terpadu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Tindakan UI Kebijakan Kepatuhan Terpadu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30b2d-a1ad-4203-83cf-ddd266e30e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Tag Gambar" ma:readOnly="false" ma:fieldId="{5cf76f15-5ced-4ddc-b409-7134ff3c332f}" ma:taxonomyMulti="true" ma:sspId="d0229104-ef7a-423c-89ef-2a08041c1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5" nillable="true" ma:displayName="Status" ma:description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5ec31-c013-4fbf-b2b8-16fc175a756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ibagikan Denga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ibagikan Dengan Detail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c6d6c11-9496-4424-a895-09aea8150896}" ma:internalName="TaxCatchAll" ma:showField="CatchAllData" ma:web="c975ec31-c013-4fbf-b2b8-16fc175a75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85BDD4-E7EA-4DA5-B4F1-68CA2D32D0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4DAFDA-F765-45FD-8303-91EB472476E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75ec31-c013-4fbf-b2b8-16fc175a7567"/>
    <ds:schemaRef ds:uri="70b30b2d-a1ad-4203-83cf-ddd266e30e07"/>
  </ds:schemaRefs>
</ds:datastoreItem>
</file>

<file path=customXml/itemProps3.xml><?xml version="1.0" encoding="utf-8"?>
<ds:datastoreItem xmlns:ds="http://schemas.openxmlformats.org/officeDocument/2006/customXml" ds:itemID="{3BCFAD27-122A-4866-9578-7F3107CFA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0b30b2d-a1ad-4203-83cf-ddd266e30e07"/>
    <ds:schemaRef ds:uri="c975ec31-c013-4fbf-b2b8-16fc175a75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Resource Refference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Rayo Wijaya</cp:lastModifiedBy>
  <cp:revision/>
  <dcterms:created xsi:type="dcterms:W3CDTF">2026-02-12T14:40:22Z</dcterms:created>
  <dcterms:modified xsi:type="dcterms:W3CDTF">2026-08-04T03:42:16Z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0x0101006A356F76AD64A642A378F216D1907E97</vt:lpwstr>
  </property>
  <property fmtid="{D5CDD505-2E9C-101B-9397-08002B2CF9AE}" pid="3" name="MSIP_Label_d5caaddc-90a0-4995-b524-c269e4395a58_Enabled">
    <vt:lpwstr>true</vt:lpwstr>
  </property>
  <property fmtid="{D5CDD505-2E9C-101B-9397-08002B2CF9AE}" pid="4" name="MSIP_Label_d5caaddc-90a0-4995-b524-c269e4395a58_SetDate">
    <vt:lpwstr>2026-02-12T14:40:28Z</vt:lpwstr>
  </property>
  <property fmtid="{D5CDD505-2E9C-101B-9397-08002B2CF9AE}" pid="5" name="MSIP_Label_d5caaddc-90a0-4995-b524-c269e4395a58_Method">
    <vt:lpwstr>Standard</vt:lpwstr>
  </property>
  <property fmtid="{D5CDD505-2E9C-101B-9397-08002B2CF9AE}" pid="6" name="MSIP_Label_d5caaddc-90a0-4995-b524-c269e4395a58_Name">
    <vt:lpwstr>Internal</vt:lpwstr>
  </property>
  <property fmtid="{D5CDD505-2E9C-101B-9397-08002B2CF9AE}" pid="7" name="MSIP_Label_d5caaddc-90a0-4995-b524-c269e4395a58_SiteId">
    <vt:lpwstr>fc743075-93ed-4a5c-82c0-ca5eac914220</vt:lpwstr>
  </property>
  <property fmtid="{D5CDD505-2E9C-101B-9397-08002B2CF9AE}" pid="8" name="MSIP_Label_d5caaddc-90a0-4995-b524-c269e4395a58_ActionId">
    <vt:lpwstr>1a00b88f-2eea-435f-a7b3-61c271a73837</vt:lpwstr>
  </property>
  <property fmtid="{D5CDD505-2E9C-101B-9397-08002B2CF9AE}" pid="9" name="MSIP_Label_d5caaddc-90a0-4995-b524-c269e4395a58_ContentBits">
    <vt:lpwstr>2</vt:lpwstr>
  </property>
  <property fmtid="{D5CDD505-2E9C-101B-9397-08002B2CF9AE}" pid="10" name="MSIP_Label_d5caaddc-90a0-4995-b524-c269e4395a58_Tag">
    <vt:lpwstr>10, 3, 0, 2</vt:lpwstr>
  </property>
  <property fmtid="{D5CDD505-2E9C-101B-9397-08002B2CF9AE}" pid="11" name="MediaServiceImageTags">
    <vt:lpwstr/>
  </property>
</Properties>
</file>